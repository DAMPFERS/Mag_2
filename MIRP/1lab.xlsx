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7" i="1" l="1"/>
  <c r="J88" i="1"/>
  <c r="K87" i="1"/>
  <c r="K88" i="1"/>
  <c r="J86" i="1"/>
  <c r="K86" i="1"/>
  <c r="I87" i="1"/>
  <c r="I88" i="1"/>
  <c r="I86" i="1"/>
  <c r="H87" i="1"/>
  <c r="H88" i="1"/>
  <c r="H86" i="1"/>
  <c r="T7" i="1"/>
  <c r="S7" i="1"/>
  <c r="R7" i="1"/>
  <c r="Q7" i="1"/>
  <c r="P7" i="1"/>
  <c r="O7" i="1"/>
  <c r="T5" i="1"/>
  <c r="T6" i="1"/>
  <c r="T4" i="1"/>
  <c r="S5" i="1"/>
  <c r="S6" i="1"/>
  <c r="S4" i="1"/>
  <c r="R5" i="1"/>
  <c r="R6" i="1"/>
  <c r="R4" i="1"/>
  <c r="Q5" i="1"/>
  <c r="Q6" i="1"/>
  <c r="Q4" i="1"/>
  <c r="P5" i="1"/>
  <c r="P6" i="1"/>
  <c r="P4" i="1"/>
  <c r="O5" i="1"/>
  <c r="O6" i="1"/>
  <c r="O4" i="1"/>
</calcChain>
</file>

<file path=xl/sharedStrings.xml><?xml version="1.0" encoding="utf-8"?>
<sst xmlns="http://schemas.openxmlformats.org/spreadsheetml/2006/main" count="12" uniqueCount="8">
  <si>
    <t>Размерность
матрицы</t>
  </si>
  <si>
    <t>1 поток</t>
  </si>
  <si>
    <t>2 потока</t>
  </si>
  <si>
    <t>3 потока</t>
  </si>
  <si>
    <t>4 потока</t>
  </si>
  <si>
    <t>OpenMP</t>
  </si>
  <si>
    <t>MPI</t>
  </si>
  <si>
    <t>OpenCL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</si>
</sst>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2" xfId="0" applyNumberFormat="1" applyFill="1" applyBorder="1"/>
    <xf numFmtId="164" fontId="0" fillId="0" borderId="0" xfId="0" applyNumberFormat="1"/>
    <xf numFmtId="0" fontId="0" fillId="0" borderId="1" xfId="0" applyBorder="1" applyAlignme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Однопоточный режим</a:t>
            </a:r>
          </a:p>
        </c:rich>
      </c:tx>
      <c:layout>
        <c:manualLayout>
          <c:xMode val="edge"/>
          <c:yMode val="edge"/>
          <c:x val="0.33480314960629914"/>
          <c:y val="8.6175942549371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17171296296296298"/>
          <c:w val="0.86535839058109609"/>
          <c:h val="0.6764924581913796"/>
        </c:manualLayout>
      </c:layout>
      <c:lineChart>
        <c:grouping val="standard"/>
        <c:varyColors val="0"/>
        <c:ser>
          <c:idx val="0"/>
          <c:order val="0"/>
          <c:tx>
            <c:v>Время вычисления, с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Лист1!$B$4:$B$7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Лист1!$C$4:$C$7</c:f>
              <c:numCache>
                <c:formatCode>0.0</c:formatCode>
                <c:ptCount val="4"/>
                <c:pt idx="0">
                  <c:v>6</c:v>
                </c:pt>
                <c:pt idx="1">
                  <c:v>33</c:v>
                </c:pt>
                <c:pt idx="2">
                  <c:v>164</c:v>
                </c:pt>
                <c:pt idx="3">
                  <c:v>1055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4-4FF5-99AE-551A8FB80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 матриц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вычисления, мс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</a:t>
            </a:r>
            <a:r>
              <a:rPr lang="en-NZ"/>
              <a:t>2 </a:t>
            </a:r>
            <a:r>
              <a:rPr lang="ru-RU"/>
              <a:t>потока</a:t>
            </a:r>
          </a:p>
        </c:rich>
      </c:tx>
      <c:layout>
        <c:manualLayout>
          <c:xMode val="edge"/>
          <c:yMode val="edge"/>
          <c:x val="0.39993205055609571"/>
          <c:y val="8.9766606822262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17171296296296298"/>
          <c:w val="0.86535839058109609"/>
          <c:h val="0.676492458191379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OpenMP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Лист1!$B$4:$B$7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Лист1!$D$4:$D$7</c:f>
              <c:numCache>
                <c:formatCode>0.0</c:formatCode>
                <c:ptCount val="4"/>
                <c:pt idx="0">
                  <c:v>4</c:v>
                </c:pt>
                <c:pt idx="1">
                  <c:v>22</c:v>
                </c:pt>
                <c:pt idx="2">
                  <c:v>86</c:v>
                </c:pt>
                <c:pt idx="3">
                  <c:v>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1-415C-B95F-6D93F91E44F3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MPI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Лист1!$B$4:$B$7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Лист1!$G$4:$G$7</c:f>
              <c:numCache>
                <c:formatCode>0.0</c:formatCode>
                <c:ptCount val="4"/>
                <c:pt idx="0">
                  <c:v>3</c:v>
                </c:pt>
                <c:pt idx="1">
                  <c:v>15</c:v>
                </c:pt>
                <c:pt idx="2">
                  <c:v>63</c:v>
                </c:pt>
                <c:pt idx="3">
                  <c:v>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1-415C-B95F-6D93F91E4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 матриц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вычисления, мс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37792070428117"/>
          <c:y val="3.5270501420715571E-3"/>
          <c:w val="0.17033985405826985"/>
          <c:h val="0.181778651097697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3</a:t>
            </a:r>
            <a:r>
              <a:rPr lang="en-NZ"/>
              <a:t> </a:t>
            </a:r>
            <a:r>
              <a:rPr lang="ru-RU"/>
              <a:t>потока</a:t>
            </a:r>
          </a:p>
        </c:rich>
      </c:tx>
      <c:layout>
        <c:manualLayout>
          <c:xMode val="edge"/>
          <c:yMode val="edge"/>
          <c:x val="0.39993205055609571"/>
          <c:y val="8.976660682226211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17171296296296298"/>
          <c:w val="0.86535839058109609"/>
          <c:h val="0.676492458191379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OpenMP</c:v>
                </c:pt>
              </c:strCache>
            </c:strRef>
          </c:tx>
          <c:cat>
            <c:numRef>
              <c:f>Лист1!$B$4:$B$7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Лист1!$E$4:$E$7</c:f>
              <c:numCache>
                <c:formatCode>0.0</c:formatCode>
                <c:ptCount val="4"/>
                <c:pt idx="0">
                  <c:v>2</c:v>
                </c:pt>
                <c:pt idx="1">
                  <c:v>15</c:v>
                </c:pt>
                <c:pt idx="2">
                  <c:v>58</c:v>
                </c:pt>
                <c:pt idx="3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308-48B3-9602-E9F43530DF74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MPI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Лист1!$B$4:$B$7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Лист1!$H$4:$H$7</c:f>
              <c:numCache>
                <c:formatCode>0.0</c:formatCode>
                <c:ptCount val="4"/>
                <c:pt idx="0">
                  <c:v>2</c:v>
                </c:pt>
                <c:pt idx="1">
                  <c:v>11</c:v>
                </c:pt>
                <c:pt idx="2">
                  <c:v>43</c:v>
                </c:pt>
                <c:pt idx="3">
                  <c:v>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308-48B3-9602-E9F43530D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 матриц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вычисления, мс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078654686481687"/>
          <c:y val="6.1267476215383322E-4"/>
          <c:w val="0.18021752369149244"/>
          <c:h val="0.1947890131327839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4</a:t>
            </a:r>
            <a:r>
              <a:rPr lang="en-NZ"/>
              <a:t> </a:t>
            </a:r>
            <a:r>
              <a:rPr lang="ru-RU"/>
              <a:t>потока</a:t>
            </a:r>
          </a:p>
        </c:rich>
      </c:tx>
      <c:layout>
        <c:manualLayout>
          <c:xMode val="edge"/>
          <c:yMode val="edge"/>
          <c:x val="0.39993205055609571"/>
          <c:y val="8.976660682226211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17171296296296298"/>
          <c:w val="0.86535839058109609"/>
          <c:h val="0.676492458191379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OpenMP</c:v>
                </c:pt>
              </c:strCache>
            </c:strRef>
          </c:tx>
          <c:cat>
            <c:numRef>
              <c:f>Лист1!$B$4:$B$7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Лист1!$F$4:$F$7</c:f>
              <c:numCache>
                <c:formatCode>0.0</c:formatCode>
                <c:ptCount val="4"/>
                <c:pt idx="0">
                  <c:v>2</c:v>
                </c:pt>
                <c:pt idx="1">
                  <c:v>11</c:v>
                </c:pt>
                <c:pt idx="2">
                  <c:v>44</c:v>
                </c:pt>
                <c:pt idx="3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9-42D8-AC9C-258FB61C5DD8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MPI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Лист1!$B$4:$B$7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Лист1!$I$4:$I$7</c:f>
              <c:numCache>
                <c:formatCode>0.0</c:formatCode>
                <c:ptCount val="4"/>
                <c:pt idx="0">
                  <c:v>2</c:v>
                </c:pt>
                <c:pt idx="1">
                  <c:v>9</c:v>
                </c:pt>
                <c:pt idx="2">
                  <c:v>34</c:v>
                </c:pt>
                <c:pt idx="3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9-42D8-AC9C-258FB61C5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 матриц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вычисления, мс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892763404574419"/>
          <c:y val="8.6322156750273764E-3"/>
          <c:w val="0.18021752369149244"/>
          <c:h val="0.1947890131327839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Размер матрицы: 1000</a:t>
            </a:r>
            <a:r>
              <a:rPr lang="en-US"/>
              <a:t>*1000</a:t>
            </a:r>
            <a:endParaRPr lang="ru-RU"/>
          </a:p>
        </c:rich>
      </c:tx>
      <c:layout>
        <c:manualLayout>
          <c:xMode val="edge"/>
          <c:yMode val="edge"/>
          <c:x val="0.25206243956347568"/>
          <c:y val="9.738552680914885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21361769778777653"/>
          <c:w val="0.86535839058109609"/>
          <c:h val="0.63910371203599559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OpenMP</c:v>
                </c:pt>
              </c:strCache>
            </c:strRef>
          </c:tx>
          <c:cat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cat>
          <c:val>
            <c:numRef>
              <c:f>Лист1!$O$4:$Q$4</c:f>
              <c:numCache>
                <c:formatCode>0.0</c:formatCode>
                <c:ptCount val="3"/>
                <c:pt idx="0">
                  <c:v>1.5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E-4ECE-A8C4-690B3F0611F6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MPI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cat>
          <c:val>
            <c:numRef>
              <c:f>Лист1!$R$4:$T$4</c:f>
              <c:numCache>
                <c:formatCode>0.0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E-4ECE-A8C4-690B3F061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потоков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Коэффициент ускорения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892763404574419"/>
          <c:y val="8.6322156750273764E-3"/>
          <c:w val="0.18021752369149244"/>
          <c:h val="0.1947890131327839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Размер матрицы: </a:t>
            </a:r>
            <a:r>
              <a:rPr lang="en-NZ"/>
              <a:t>25</a:t>
            </a:r>
            <a:r>
              <a:rPr lang="ru-RU"/>
              <a:t>00</a:t>
            </a:r>
            <a:r>
              <a:rPr lang="en-US"/>
              <a:t>*2500</a:t>
            </a:r>
          </a:p>
        </c:rich>
      </c:tx>
      <c:layout>
        <c:manualLayout>
          <c:xMode val="edge"/>
          <c:yMode val="edge"/>
          <c:x val="0.24704990823515482"/>
          <c:y val="8.976647919010123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21361769778777653"/>
          <c:w val="0.86535839058109609"/>
          <c:h val="0.63910371203599559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OpenMP</c:v>
                </c:pt>
              </c:strCache>
            </c:strRef>
          </c:tx>
          <c:cat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cat>
          <c:val>
            <c:numRef>
              <c:f>Лист1!$O$5:$Q$5</c:f>
              <c:numCache>
                <c:formatCode>0.0</c:formatCode>
                <c:ptCount val="3"/>
                <c:pt idx="0">
                  <c:v>1.5</c:v>
                </c:pt>
                <c:pt idx="1">
                  <c:v>2.2000000000000002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1-4D20-AABC-3973371B2464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MPI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cat>
          <c:val>
            <c:numRef>
              <c:f>Лист1!$R$5:$T$5</c:f>
              <c:numCache>
                <c:formatCode>0.0</c:formatCode>
                <c:ptCount val="3"/>
                <c:pt idx="0">
                  <c:v>2.2000000000000002</c:v>
                </c:pt>
                <c:pt idx="1">
                  <c:v>3</c:v>
                </c:pt>
                <c:pt idx="2">
                  <c:v>3.6666666666666665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1-4D20-AABC-3973371B2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потоков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Коэффициент ускорения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892763404574419"/>
          <c:y val="8.6322156750273764E-3"/>
          <c:w val="0.18021752369149244"/>
          <c:h val="0.1947890131327839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Время вычисления на </a:t>
            </a:r>
            <a:r>
              <a:rPr lang="en-NZ"/>
              <a:t>CPU </a:t>
            </a:r>
            <a:r>
              <a:rPr lang="ru-RU"/>
              <a:t>и</a:t>
            </a:r>
            <a:r>
              <a:rPr lang="ru-RU" baseline="0"/>
              <a:t> </a:t>
            </a:r>
            <a:r>
              <a:rPr lang="en-NZ"/>
              <a:t>GPU</a:t>
            </a:r>
            <a:endParaRPr lang="ru-RU"/>
          </a:p>
        </c:rich>
      </c:tx>
      <c:layout>
        <c:manualLayout>
          <c:xMode val="edge"/>
          <c:yMode val="edge"/>
          <c:x val="0.30869463487964699"/>
          <c:y val="9.84621704895583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17171296296296298"/>
          <c:w val="0.86535839058109609"/>
          <c:h val="0.676492458191379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OpenMP</c:v>
                </c:pt>
              </c:strCache>
            </c:strRef>
          </c:tx>
          <c:cat>
            <c:numRef>
              <c:f>Лист1!$B$4:$B$6</c:f>
              <c:numCache>
                <c:formatCode>General</c:formatCode>
                <c:ptCount val="3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</c:numCache>
            </c:numRef>
          </c:cat>
          <c:val>
            <c:numRef>
              <c:f>Лист1!$F$4:$F$6</c:f>
              <c:numCache>
                <c:formatCode>0.0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0-424F-8623-AADFB951F50B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MPI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Лист1!$B$4:$B$6</c:f>
              <c:numCache>
                <c:formatCode>General</c:formatCode>
                <c:ptCount val="3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</c:numCache>
            </c:numRef>
          </c:cat>
          <c:val>
            <c:numRef>
              <c:f>Лист1!$I$4:$I$6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80-424F-8623-AADFB951F50B}"/>
            </c:ext>
          </c:extLst>
        </c:ser>
        <c:ser>
          <c:idx val="2"/>
          <c:order val="2"/>
          <c:tx>
            <c:strRef>
              <c:f>Лист1!$C$84</c:f>
              <c:strCache>
                <c:ptCount val="1"/>
                <c:pt idx="0">
                  <c:v>OpenCL</c:v>
                </c:pt>
              </c:strCache>
            </c:strRef>
          </c:tx>
          <c:cat>
            <c:numRef>
              <c:f>Лист1!$B$4:$B$6</c:f>
              <c:numCache>
                <c:formatCode>General</c:formatCode>
                <c:ptCount val="3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</c:numCache>
            </c:numRef>
          </c:cat>
          <c:val>
            <c:numRef>
              <c:f>Лист1!$E$86:$E$88</c:f>
              <c:numCache>
                <c:formatCode>0.0</c:formatCode>
                <c:ptCount val="3"/>
                <c:pt idx="0">
                  <c:v>0.8</c:v>
                </c:pt>
                <c:pt idx="1">
                  <c:v>2.4</c:v>
                </c:pt>
                <c:pt idx="2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80-424F-8623-AADFB951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 матриц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вычисления, мс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892763404574419"/>
          <c:y val="8.6322156750273764E-3"/>
          <c:w val="0.12755844472929256"/>
          <c:h val="0.17757361753676043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Размер матрицы: </a:t>
            </a:r>
            <a:r>
              <a:rPr lang="en-NZ"/>
              <a:t>50</a:t>
            </a:r>
            <a:r>
              <a:rPr lang="ru-RU"/>
              <a:t>00</a:t>
            </a:r>
            <a:r>
              <a:rPr lang="en-US"/>
              <a:t>*5000</a:t>
            </a:r>
          </a:p>
        </c:rich>
      </c:tx>
      <c:layout>
        <c:manualLayout>
          <c:xMode val="edge"/>
          <c:yMode val="edge"/>
          <c:x val="0.33727547214492926"/>
          <c:y val="8.976647919010123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21361769778777653"/>
          <c:w val="0.86535839058109609"/>
          <c:h val="0.63910371203599559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OpenMP</c:v>
                </c:pt>
              </c:strCache>
            </c:strRef>
          </c:tx>
          <c:cat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cat>
          <c:val>
            <c:numRef>
              <c:f>Лист1!$O$6:$Q$6</c:f>
              <c:numCache>
                <c:formatCode>0.0</c:formatCode>
                <c:ptCount val="3"/>
                <c:pt idx="0">
                  <c:v>1.9069767441860466</c:v>
                </c:pt>
                <c:pt idx="1">
                  <c:v>2.8275862068965516</c:v>
                </c:pt>
                <c:pt idx="2">
                  <c:v>3.7272727272727271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A-4295-AAA0-6CA8DA97DC36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MPI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cat>
          <c:val>
            <c:numRef>
              <c:f>Лист1!$R$6:$T$6</c:f>
              <c:numCache>
                <c:formatCode>0.0</c:formatCode>
                <c:ptCount val="3"/>
                <c:pt idx="0">
                  <c:v>2.6031746031746033</c:v>
                </c:pt>
                <c:pt idx="1">
                  <c:v>3.8139534883720931</c:v>
                </c:pt>
                <c:pt idx="2">
                  <c:v>4.8235294117647056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A-4295-AAA0-6CA8DA97D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потоков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Коэффициент ускорения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892763404574419"/>
          <c:y val="8.6322156750273764E-3"/>
          <c:w val="0.18021752369149244"/>
          <c:h val="0.1947890131327839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Размер матрицы: </a:t>
            </a:r>
            <a:r>
              <a:rPr lang="en-NZ"/>
              <a:t>10</a:t>
            </a:r>
            <a:r>
              <a:rPr lang="en-NZ" baseline="0"/>
              <a:t> </a:t>
            </a:r>
            <a:r>
              <a:rPr lang="en-NZ"/>
              <a:t>0</a:t>
            </a:r>
            <a:r>
              <a:rPr lang="ru-RU"/>
              <a:t>00</a:t>
            </a:r>
            <a:r>
              <a:rPr lang="en-US"/>
              <a:t>*10</a:t>
            </a:r>
            <a:r>
              <a:rPr lang="en-US" baseline="0"/>
              <a:t> </a:t>
            </a:r>
            <a:r>
              <a:rPr lang="en-US"/>
              <a:t>000</a:t>
            </a:r>
          </a:p>
        </c:rich>
      </c:tx>
      <c:layout>
        <c:manualLayout>
          <c:xMode val="edge"/>
          <c:yMode val="edge"/>
          <c:x val="0.33727547214492926"/>
          <c:y val="8.976647919010123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21361769778777653"/>
          <c:w val="0.86535839058109609"/>
          <c:h val="0.63910371203599559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OpenMP</c:v>
                </c:pt>
              </c:strCache>
            </c:strRef>
          </c:tx>
          <c:cat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cat>
          <c:val>
            <c:numRef>
              <c:f>Лист1!$O$7:$Q$7</c:f>
              <c:numCache>
                <c:formatCode>0.0</c:formatCode>
                <c:ptCount val="3"/>
                <c:pt idx="0">
                  <c:v>3.0758017492711369</c:v>
                </c:pt>
                <c:pt idx="1">
                  <c:v>4.3237704918032787</c:v>
                </c:pt>
                <c:pt idx="2">
                  <c:v>6.0632183908045976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A-4365-B39C-B58F078B40EA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MPI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cat>
          <c:val>
            <c:numRef>
              <c:f>Лист1!$R$7:$T$7</c:f>
              <c:numCache>
                <c:formatCode>0.0</c:formatCode>
                <c:ptCount val="3"/>
                <c:pt idx="0">
                  <c:v>2.5985221674876846</c:v>
                </c:pt>
                <c:pt idx="1">
                  <c:v>3.3386075949367089</c:v>
                </c:pt>
                <c:pt idx="2">
                  <c:v>7.757352941176471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9A-4365-B39C-B58F078B4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потоков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Коэффициент ускорения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892763404574419"/>
          <c:y val="8.6322156750273764E-3"/>
          <c:w val="0.18021752369149244"/>
          <c:h val="0.1947890131327839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Вычисление на графическом процессоре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OpenCL</a:t>
            </a:r>
          </a:p>
        </c:rich>
      </c:tx>
      <c:layout>
        <c:manualLayout>
          <c:xMode val="edge"/>
          <c:yMode val="edge"/>
          <c:x val="0.16935567264618237"/>
          <c:y val="4.405219347581552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6374854432205"/>
          <c:y val="0.21361769778777653"/>
          <c:w val="0.86535839058109609"/>
          <c:h val="0.63910371203599559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Лист1!$B$86</c:f>
              <c:strCache>
                <c:ptCount val="1"/>
                <c:pt idx="0">
                  <c:v>1000</c:v>
                </c:pt>
              </c:strCache>
            </c:strRef>
          </c:tx>
          <c:cat>
            <c:numRef>
              <c:f>Лист1!$H$85:$K$85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Лист1!$H$86:$K$86</c:f>
              <c:numCache>
                <c:formatCode>0.0</c:formatCode>
                <c:ptCount val="4"/>
                <c:pt idx="0">
                  <c:v>4.615384615384615</c:v>
                </c:pt>
                <c:pt idx="1">
                  <c:v>6.6666666666666661</c:v>
                </c:pt>
                <c:pt idx="2">
                  <c:v>7.5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E-4FCC-9DC0-133F5B2549BC}"/>
            </c:ext>
          </c:extLst>
        </c:ser>
        <c:ser>
          <c:idx val="1"/>
          <c:order val="1"/>
          <c:tx>
            <c:strRef>
              <c:f>Лист1!$B$87</c:f>
              <c:strCache>
                <c:ptCount val="1"/>
                <c:pt idx="0">
                  <c:v>2500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Лист1!$H$85:$K$85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Лист1!$H$87:$K$87</c:f>
              <c:numCache>
                <c:formatCode>0.0</c:formatCode>
                <c:ptCount val="4"/>
                <c:pt idx="0">
                  <c:v>3.1132075471698113</c:v>
                </c:pt>
                <c:pt idx="1">
                  <c:v>7.1739130434782616</c:v>
                </c:pt>
                <c:pt idx="2">
                  <c:v>13.75</c:v>
                </c:pt>
                <c:pt idx="3">
                  <c:v>12.692307692307692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2E-4FCC-9DC0-133F5B2549BC}"/>
            </c:ext>
          </c:extLst>
        </c:ser>
        <c:ser>
          <c:idx val="2"/>
          <c:order val="2"/>
          <c:tx>
            <c:strRef>
              <c:f>Лист1!$B$88</c:f>
              <c:strCache>
                <c:ptCount val="1"/>
                <c:pt idx="0">
                  <c:v>5000</c:v>
                </c:pt>
              </c:strCache>
            </c:strRef>
          </c:tx>
          <c:cat>
            <c:numRef>
              <c:f>Лист1!$H$85:$K$85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Лист1!$H$88:$K$88</c:f>
              <c:numCache>
                <c:formatCode>0.0</c:formatCode>
                <c:ptCount val="4"/>
                <c:pt idx="0">
                  <c:v>4.3386243386243386</c:v>
                </c:pt>
                <c:pt idx="1">
                  <c:v>8.282828282828282</c:v>
                </c:pt>
                <c:pt idx="2">
                  <c:v>10.718954248366012</c:v>
                </c:pt>
                <c:pt idx="3">
                  <c:v>12.330827067669173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2E-4FCC-9DC0-133F5B254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897040"/>
        <c:axId val="480898024"/>
      </c:lineChart>
      <c:catAx>
        <c:axId val="4808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потоков</a:t>
                </a:r>
              </a:p>
            </c:rich>
          </c:tx>
          <c:layout>
            <c:manualLayout>
              <c:xMode val="edge"/>
              <c:yMode val="edge"/>
              <c:x val="0.72313229842199167"/>
              <c:y val="0.91904550530824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8024"/>
        <c:crosses val="autoZero"/>
        <c:auto val="1"/>
        <c:lblAlgn val="ctr"/>
        <c:lblOffset val="100"/>
        <c:noMultiLvlLbl val="0"/>
      </c:catAx>
      <c:valAx>
        <c:axId val="480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Коэффициент ускорения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2307396446543229E-2"/>
              <c:y val="4.09926631702455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89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892763404574419"/>
          <c:y val="8.6322156750273764E-3"/>
          <c:w val="0.12601503759398497"/>
          <c:h val="0.2066618672665916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469900</xdr:colOff>
      <xdr:row>7</xdr:row>
      <xdr:rowOff>101600</xdr:rowOff>
    </xdr:from>
    <xdr:to>
      <xdr:col>9</xdr:col>
      <xdr:colOff>12700</xdr:colOff>
      <xdr:row>26</xdr:row>
      <xdr:rowOff>139700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133350</xdr:colOff>
      <xdr:row>7</xdr:row>
      <xdr:rowOff>95250</xdr:rowOff>
    </xdr:from>
    <xdr:to>
      <xdr:col>16</xdr:col>
      <xdr:colOff>546100</xdr:colOff>
      <xdr:row>26</xdr:row>
      <xdr:rowOff>133350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457200</xdr:colOff>
      <xdr:row>27</xdr:row>
      <xdr:rowOff>152400</xdr:rowOff>
    </xdr:from>
    <xdr:to>
      <xdr:col>9</xdr:col>
      <xdr:colOff>0</xdr:colOff>
      <xdr:row>47</xdr:row>
      <xdr:rowOff>6350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431800</xdr:colOff>
      <xdr:row>29</xdr:row>
      <xdr:rowOff>0</xdr:rowOff>
    </xdr:from>
    <xdr:to>
      <xdr:col>18</xdr:col>
      <xdr:colOff>12700</xdr:colOff>
      <xdr:row>49</xdr:row>
      <xdr:rowOff>152400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107950</xdr:colOff>
      <xdr:row>8</xdr:row>
      <xdr:rowOff>38100</xdr:rowOff>
    </xdr:from>
    <xdr:to>
      <xdr:col>26</xdr:col>
      <xdr:colOff>298450</xdr:colOff>
      <xdr:row>26</xdr:row>
      <xdr:rowOff>57150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29</xdr:row>
      <xdr:rowOff>0</xdr:rowOff>
    </xdr:from>
    <xdr:to>
      <xdr:col>28</xdr:col>
      <xdr:colOff>190500</xdr:colOff>
      <xdr:row>47</xdr:row>
      <xdr:rowOff>19050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450850</xdr:colOff>
      <xdr:row>57</xdr:row>
      <xdr:rowOff>38100</xdr:rowOff>
    </xdr:from>
    <xdr:to>
      <xdr:col>16</xdr:col>
      <xdr:colOff>165100</xdr:colOff>
      <xdr:row>81</xdr:row>
      <xdr:rowOff>0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50</xdr:row>
      <xdr:rowOff>0</xdr:rowOff>
    </xdr:from>
    <xdr:to>
      <xdr:col>28</xdr:col>
      <xdr:colOff>190500</xdr:colOff>
      <xdr:row>68</xdr:row>
      <xdr:rowOff>19050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70</xdr:row>
      <xdr:rowOff>0</xdr:rowOff>
    </xdr:from>
    <xdr:to>
      <xdr:col>28</xdr:col>
      <xdr:colOff>190500</xdr:colOff>
      <xdr:row>88</xdr:row>
      <xdr:rowOff>19050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476250</xdr:colOff>
      <xdr:row>90</xdr:row>
      <xdr:rowOff>95250</xdr:rowOff>
    </xdr:from>
    <xdr:to>
      <xdr:col>9</xdr:col>
      <xdr:colOff>406400</xdr:colOff>
      <xdr:row>108</xdr:row>
      <xdr:rowOff>114300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88"/>
  <sheetViews>
    <sheetView tabSelected="1" topLeftCell="B55" workbookViewId="0">
      <selection activeCell="M93" sqref="M93"/>
    </sheetView>
  </sheetViews>
  <sheetFormatPr defaultRowHeight="14.5" x14ac:dyDescent="0.35"/>
  <cols>
    <col min="2" max="2" width="12.453125" customWidth="1"/>
  </cols>
  <sheetData>
    <row r="2" spans="2:23" x14ac:dyDescent="0.35">
      <c r="B2" s="9" t="s">
        <v>0</v>
      </c>
      <c r="C2" s="10" t="s">
        <v>1</v>
      </c>
      <c r="D2" s="10" t="s">
        <v>5</v>
      </c>
      <c r="E2" s="10"/>
      <c r="F2" s="10"/>
      <c r="G2" s="10" t="s">
        <v>6</v>
      </c>
      <c r="H2" s="10"/>
      <c r="I2" s="10"/>
      <c r="J2" s="6"/>
      <c r="K2" s="7"/>
      <c r="L2" s="8"/>
    </row>
    <row r="3" spans="2:23" x14ac:dyDescent="0.35">
      <c r="B3" s="9"/>
      <c r="C3" s="10"/>
      <c r="D3" s="1" t="s">
        <v>2</v>
      </c>
      <c r="E3" s="1" t="s">
        <v>3</v>
      </c>
      <c r="F3" s="1" t="s">
        <v>4</v>
      </c>
      <c r="G3" s="1" t="s">
        <v>2</v>
      </c>
      <c r="H3" s="1" t="s">
        <v>3</v>
      </c>
      <c r="I3" s="1" t="s">
        <v>4</v>
      </c>
      <c r="J3" s="1"/>
      <c r="K3" s="1"/>
      <c r="L3" s="1"/>
    </row>
    <row r="4" spans="2:23" x14ac:dyDescent="0.35">
      <c r="B4" s="1">
        <v>1000</v>
      </c>
      <c r="C4" s="2">
        <v>6</v>
      </c>
      <c r="D4" s="2">
        <v>4</v>
      </c>
      <c r="E4" s="2">
        <v>2</v>
      </c>
      <c r="F4" s="2">
        <v>2</v>
      </c>
      <c r="G4" s="2">
        <v>3</v>
      </c>
      <c r="H4" s="2">
        <v>2</v>
      </c>
      <c r="I4" s="2">
        <v>2</v>
      </c>
      <c r="J4" s="2"/>
      <c r="K4" s="2"/>
      <c r="L4" s="2"/>
      <c r="O4" s="4">
        <f>$C4/$D4</f>
        <v>1.5</v>
      </c>
      <c r="P4" s="4">
        <f>$C4/$E4</f>
        <v>3</v>
      </c>
      <c r="Q4" s="4">
        <f>$C4/$F4</f>
        <v>3</v>
      </c>
      <c r="R4" s="4">
        <f>$C4/$G4</f>
        <v>2</v>
      </c>
      <c r="S4" s="4">
        <f>$C4/$H4</f>
        <v>3</v>
      </c>
      <c r="T4" s="4">
        <f>$C4/$I4</f>
        <v>3</v>
      </c>
      <c r="U4" s="4"/>
      <c r="V4" s="4"/>
      <c r="W4" s="4"/>
    </row>
    <row r="5" spans="2:23" x14ac:dyDescent="0.35">
      <c r="B5" s="1">
        <v>2500</v>
      </c>
      <c r="C5" s="2">
        <v>33</v>
      </c>
      <c r="D5" s="2">
        <v>22</v>
      </c>
      <c r="E5" s="2">
        <v>15</v>
      </c>
      <c r="F5" s="2">
        <v>11</v>
      </c>
      <c r="G5" s="2">
        <v>15</v>
      </c>
      <c r="H5" s="2">
        <v>11</v>
      </c>
      <c r="I5" s="3">
        <v>9</v>
      </c>
      <c r="J5" s="2"/>
      <c r="K5" s="2"/>
      <c r="L5" s="2"/>
      <c r="O5" s="4">
        <f t="shared" ref="O5:O7" si="0">$C5/$D5</f>
        <v>1.5</v>
      </c>
      <c r="P5" s="4">
        <f t="shared" ref="P5:P7" si="1">$C5/$E5</f>
        <v>2.2000000000000002</v>
      </c>
      <c r="Q5" s="4">
        <f t="shared" ref="Q5:Q7" si="2">$C5/$F5</f>
        <v>3</v>
      </c>
      <c r="R5" s="4">
        <f t="shared" ref="R5:R7" si="3">$C5/$G5</f>
        <v>2.2000000000000002</v>
      </c>
      <c r="S5" s="4">
        <f t="shared" ref="S5:S7" si="4">$C5/$H5</f>
        <v>3</v>
      </c>
      <c r="T5" s="4">
        <f t="shared" ref="T5:T7" si="5">$C5/$I5</f>
        <v>3.6666666666666665</v>
      </c>
      <c r="U5" s="4"/>
      <c r="V5" s="4"/>
      <c r="W5" s="4"/>
    </row>
    <row r="6" spans="2:23" x14ac:dyDescent="0.35">
      <c r="B6" s="1">
        <v>5000</v>
      </c>
      <c r="C6" s="2">
        <v>164</v>
      </c>
      <c r="D6" s="2">
        <v>86</v>
      </c>
      <c r="E6" s="2">
        <v>58</v>
      </c>
      <c r="F6" s="2">
        <v>44</v>
      </c>
      <c r="G6" s="2">
        <v>63</v>
      </c>
      <c r="H6" s="2">
        <v>43</v>
      </c>
      <c r="I6" s="2">
        <v>34</v>
      </c>
      <c r="J6" s="2"/>
      <c r="K6" s="2"/>
      <c r="L6" s="2"/>
      <c r="O6" s="4">
        <f t="shared" si="0"/>
        <v>1.9069767441860466</v>
      </c>
      <c r="P6" s="4">
        <f t="shared" si="1"/>
        <v>2.8275862068965516</v>
      </c>
      <c r="Q6" s="4">
        <f t="shared" si="2"/>
        <v>3.7272727272727271</v>
      </c>
      <c r="R6" s="4">
        <f t="shared" si="3"/>
        <v>2.6031746031746033</v>
      </c>
      <c r="S6" s="4">
        <f t="shared" si="4"/>
        <v>3.8139534883720931</v>
      </c>
      <c r="T6" s="4">
        <f t="shared" si="5"/>
        <v>4.8235294117647056</v>
      </c>
    </row>
    <row r="7" spans="2:23" x14ac:dyDescent="0.35">
      <c r="B7" s="1">
        <v>10000</v>
      </c>
      <c r="C7" s="2">
        <v>1055</v>
      </c>
      <c r="D7" s="2">
        <v>343</v>
      </c>
      <c r="E7" s="2">
        <v>244</v>
      </c>
      <c r="F7" s="2">
        <v>174</v>
      </c>
      <c r="G7" s="2">
        <v>406</v>
      </c>
      <c r="H7" s="2">
        <v>316</v>
      </c>
      <c r="I7" s="2">
        <v>136</v>
      </c>
      <c r="J7" s="2"/>
      <c r="K7" s="2"/>
      <c r="L7" s="2"/>
      <c r="O7" s="4">
        <f t="shared" si="0"/>
        <v>3.0758017492711369</v>
      </c>
      <c r="P7" s="4">
        <f t="shared" si="1"/>
        <v>4.3237704918032787</v>
      </c>
      <c r="Q7" s="4">
        <f t="shared" si="2"/>
        <v>6.0632183908045976</v>
      </c>
      <c r="R7" s="4">
        <f t="shared" si="3"/>
        <v>2.5985221674876846</v>
      </c>
      <c r="S7" s="4">
        <f t="shared" si="4"/>
        <v>3.3386075949367089</v>
      </c>
      <c r="T7" s="4">
        <f t="shared" si="5"/>
        <v>7.757352941176471</v>
      </c>
    </row>
    <row r="84" spans="2:14" x14ac:dyDescent="0.35">
      <c r="B84" s="9" t="s">
        <v>0</v>
      </c>
      <c r="C84" s="6" t="s">
        <v>7</v>
      </c>
      <c r="D84" s="7"/>
      <c r="E84" s="7"/>
      <c r="F84" s="8"/>
    </row>
    <row r="85" spans="2:14" x14ac:dyDescent="0.35">
      <c r="B85" s="9"/>
      <c r="C85" s="5">
        <v>16</v>
      </c>
      <c r="D85" s="1">
        <v>32</v>
      </c>
      <c r="E85" s="1">
        <v>64</v>
      </c>
      <c r="F85" s="1">
        <v>128</v>
      </c>
      <c r="H85" s="5">
        <v>16</v>
      </c>
      <c r="I85" s="1">
        <v>32</v>
      </c>
      <c r="J85" s="1">
        <v>64</v>
      </c>
      <c r="K85" s="1">
        <v>128</v>
      </c>
    </row>
    <row r="86" spans="2:14" x14ac:dyDescent="0.35">
      <c r="B86" s="1">
        <v>1000</v>
      </c>
      <c r="C86" s="2">
        <v>1.3</v>
      </c>
      <c r="D86" s="2">
        <v>0.9</v>
      </c>
      <c r="E86" s="2">
        <v>0.8</v>
      </c>
      <c r="F86" s="2">
        <v>0.5</v>
      </c>
      <c r="H86" s="2">
        <f>$C4/C86</f>
        <v>4.615384615384615</v>
      </c>
      <c r="I86" s="2">
        <f>$C4/D86</f>
        <v>6.6666666666666661</v>
      </c>
      <c r="J86" s="2">
        <f t="shared" ref="J86:K88" si="6">$C4/E86</f>
        <v>7.5</v>
      </c>
      <c r="K86" s="2">
        <f t="shared" si="6"/>
        <v>12</v>
      </c>
      <c r="L86" s="2"/>
      <c r="M86" s="2"/>
      <c r="N86" s="2"/>
    </row>
    <row r="87" spans="2:14" x14ac:dyDescent="0.35">
      <c r="B87" s="1">
        <v>2500</v>
      </c>
      <c r="C87" s="2">
        <v>10.6</v>
      </c>
      <c r="D87" s="2">
        <v>4.5999999999999996</v>
      </c>
      <c r="E87" s="2">
        <v>2.4</v>
      </c>
      <c r="F87" s="2">
        <v>2.6</v>
      </c>
      <c r="H87" s="2">
        <f>$C5/C87</f>
        <v>3.1132075471698113</v>
      </c>
      <c r="I87" s="2">
        <f t="shared" ref="I87:I88" si="7">$C5/D87</f>
        <v>7.1739130434782616</v>
      </c>
      <c r="J87" s="2">
        <f t="shared" si="6"/>
        <v>13.75</v>
      </c>
      <c r="K87" s="2">
        <f t="shared" si="6"/>
        <v>12.692307692307692</v>
      </c>
      <c r="L87" s="2"/>
      <c r="M87" s="2"/>
      <c r="N87" s="2"/>
    </row>
    <row r="88" spans="2:14" x14ac:dyDescent="0.35">
      <c r="B88" s="1">
        <v>5000</v>
      </c>
      <c r="C88" s="2">
        <v>37.799999999999997</v>
      </c>
      <c r="D88" s="2">
        <v>19.8</v>
      </c>
      <c r="E88" s="2">
        <v>15.3</v>
      </c>
      <c r="F88" s="2">
        <v>13.3</v>
      </c>
      <c r="H88" s="2">
        <f t="shared" ref="H88" si="8">$C6/C88</f>
        <v>4.3386243386243386</v>
      </c>
      <c r="I88" s="2">
        <f t="shared" si="7"/>
        <v>8.282828282828282</v>
      </c>
      <c r="J88" s="2">
        <f t="shared" si="6"/>
        <v>10.718954248366012</v>
      </c>
      <c r="K88" s="2">
        <f t="shared" si="6"/>
        <v>12.330827067669173</v>
      </c>
      <c r="L88" s="2"/>
      <c r="M88" s="2"/>
      <c r="N88" s="2"/>
    </row>
  </sheetData>
  <mergeCells count="7">
    <mergeCell ref="J2:L2"/>
    <mergeCell ref="B84:B85"/>
    <mergeCell ref="C84:F84"/>
    <mergeCell ref="D2:F2"/>
    <mergeCell ref="G2:I2"/>
    <mergeCell ref="C2:C3"/>
    <mergeCell ref="B2:B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2025-05-23T13:55:19Z</dcterms:modified>
</cp:coreProperties>
</file>