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H2" i="1"/>
  <c r="D4" i="1"/>
  <c r="D3" i="1" l="1"/>
  <c r="D10" i="1"/>
  <c r="D7" i="1"/>
  <c r="D6" i="1"/>
  <c r="D2" i="1"/>
  <c r="D9" i="1"/>
  <c r="D5" i="1"/>
  <c r="D8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<sst xmlns="http://schemas.openxmlformats.org/spreadsheetml/2006/main" count="7" uniqueCount="7">
  <si>
    <t>N</t>
  </si>
  <si>
    <t>T1(эксп)</t>
  </si>
  <si>
    <t>Nlog2(N)</t>
  </si>
  <si>
    <t>T1(теор)</t>
  </si>
  <si>
    <t>Расхождение</t>
  </si>
  <si>
    <t>K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</si>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</sst>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работы сортировки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T1 эксп.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Лист1!$A$2:$A$10</c:f>
              <c:numCache>
                <c:formatCode>#,##0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cat>
          <c:val>
            <c:numRef>
              <c:f>Лист1!$B$2:$B$10</c:f>
              <c:numCache>
                <c:formatCode>#,##0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6</c:v>
                </c:pt>
                <c:pt idx="6">
                  <c:v>10</c:v>
                </c:pt>
                <c:pt idx="7">
                  <c:v>33</c:v>
                </c:pt>
                <c:pt idx="8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0-4B1F-8383-F416134A93A6}"/>
            </c:ext>
          </c:extLst>
        </c:ser>
        <c:ser>
          <c:idx val="1"/>
          <c:order val="1"/>
          <c:tx>
            <c:v>T1 теор.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Лист1!$A$2:$A$10</c:f>
              <c:numCache>
                <c:formatCode>#,##0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cat>
          <c:val>
            <c:numRef>
              <c:f>Лист1!$D$2:$D$10</c:f>
              <c:numCache>
                <c:formatCode>#,##0.00</c:formatCode>
                <c:ptCount val="9"/>
                <c:pt idx="0">
                  <c:v>0.15144031762871243</c:v>
                </c:pt>
                <c:pt idx="1">
                  <c:v>0.33327268736350701</c:v>
                </c:pt>
                <c:pt idx="2">
                  <c:v>0.72732947893917843</c:v>
                </c:pt>
                <c:pt idx="3">
                  <c:v>1.5762271663026854</c:v>
                </c:pt>
                <c:pt idx="4">
                  <c:v>3.3955907494540281</c:v>
                </c:pt>
                <c:pt idx="5">
                  <c:v>7.2774543326053704</c:v>
                </c:pt>
                <c:pt idx="6">
                  <c:v>15.52745433260537</c:v>
                </c:pt>
                <c:pt idx="7">
                  <c:v>33</c:v>
                </c:pt>
                <c:pt idx="8">
                  <c:v>69.890182669578508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2D-4AD2-8B2C-3CF427C5D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92176"/>
        <c:axId val="415089880"/>
      </c:lineChart>
      <c:catAx>
        <c:axId val="415092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элементов односвязного списка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5089880"/>
        <c:crosses val="autoZero"/>
        <c:auto val="1"/>
        <c:lblAlgn val="ctr"/>
        <c:lblOffset val="100"/>
        <c:noMultiLvlLbl val="0"/>
      </c:catAx>
      <c:valAx>
        <c:axId val="41508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сортировки, мс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509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714813010883521"/>
          <c:y val="0.13057102514851232"/>
          <c:w val="0.2407536883120964"/>
          <c:h val="5.4523806495108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492124</xdr:colOff>
      <xdr:row>11</xdr:row>
      <xdr:rowOff>76200</xdr:rowOff>
    </xdr:from>
    <xdr:to>
      <xdr:col>13</xdr:col>
      <xdr:colOff>133350</xdr:colOff>
      <xdr:row>32</xdr:row>
      <xdr:rowOff>139700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Q26" sqref="Q26"/>
    </sheetView>
  </sheetViews>
  <sheetFormatPr defaultRowHeight="14.5" x14ac:dyDescent="0.35"/>
  <cols>
    <col min="1" max="1" width="7.453125" customWidth="1"/>
    <col min="2" max="2" width="7.6328125" customWidth="1"/>
    <col min="3" max="3" width="10.7265625" customWidth="1"/>
    <col min="4" max="4" width="8" customWidth="1"/>
    <col min="5" max="5" width="11.90625" customWidth="1"/>
    <col min="8" max="8" width="11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 s="2">
        <v>1000</v>
      </c>
      <c r="B2" s="2">
        <v>1</v>
      </c>
      <c r="C2" s="2">
        <f>A2*LOG(A2,2)</f>
        <v>9965.7842846620879</v>
      </c>
      <c r="D2" s="3">
        <f>$H$2*C2</f>
        <v>0.15144031762871243</v>
      </c>
      <c r="E2" s="4">
        <f>(D2-B2)/B2</f>
        <v>-0.84855968237128754</v>
      </c>
      <c r="G2" t="s">
        <v>5</v>
      </c>
      <c r="H2">
        <f>$B$9/$C$9</f>
        <v>1.5196026053041079E-5</v>
      </c>
    </row>
    <row r="3" spans="1:8" x14ac:dyDescent="0.35">
      <c r="A3" s="2">
        <v>2000</v>
      </c>
      <c r="B3" s="2">
        <v>1</v>
      </c>
      <c r="C3" s="2">
        <f t="shared" ref="C3:C10" si="0">A3*LOG(A3,2)</f>
        <v>21931.568569324176</v>
      </c>
      <c r="D3" s="3">
        <f t="shared" ref="D3:D10" si="1">$H$2*C3</f>
        <v>0.33327268736350701</v>
      </c>
      <c r="E3" s="4">
        <f t="shared" ref="E3:E10" si="2">(D3-B3)/B3</f>
        <v>-0.66672731263649299</v>
      </c>
      <c r="G3" t="s">
        <v>6</v>
      </c>
      <c r="H3">
        <v>1.1000000000000001</v>
      </c>
    </row>
    <row r="4" spans="1:8" x14ac:dyDescent="0.35">
      <c r="A4" s="2">
        <v>4000</v>
      </c>
      <c r="B4" s="2">
        <v>2</v>
      </c>
      <c r="C4" s="2">
        <f t="shared" si="0"/>
        <v>47863.137138648352</v>
      </c>
      <c r="D4" s="3">
        <f t="shared" si="1"/>
        <v>0.72732947893917843</v>
      </c>
      <c r="E4" s="4">
        <f t="shared" si="2"/>
        <v>-0.63633526053041078</v>
      </c>
    </row>
    <row r="5" spans="1:8" x14ac:dyDescent="0.35">
      <c r="A5" s="2">
        <v>8000</v>
      </c>
      <c r="B5" s="2">
        <v>1</v>
      </c>
      <c r="C5" s="2">
        <f t="shared" si="0"/>
        <v>103726.2742772967</v>
      </c>
      <c r="D5" s="3">
        <f t="shared" si="1"/>
        <v>1.5762271663026854</v>
      </c>
      <c r="E5" s="4">
        <f t="shared" si="2"/>
        <v>0.57622716630268545</v>
      </c>
    </row>
    <row r="6" spans="1:8" x14ac:dyDescent="0.35">
      <c r="A6" s="2">
        <v>16000</v>
      </c>
      <c r="B6" s="2">
        <v>2</v>
      </c>
      <c r="C6" s="2">
        <f t="shared" si="0"/>
        <v>223452.54855459341</v>
      </c>
      <c r="D6" s="3">
        <f t="shared" si="1"/>
        <v>3.3955907494540281</v>
      </c>
      <c r="E6" s="4">
        <f t="shared" si="2"/>
        <v>0.69779537472701403</v>
      </c>
    </row>
    <row r="7" spans="1:8" x14ac:dyDescent="0.35">
      <c r="A7" s="2">
        <v>32000</v>
      </c>
      <c r="B7" s="2">
        <v>6</v>
      </c>
      <c r="C7" s="2">
        <f t="shared" si="0"/>
        <v>478905.09710918681</v>
      </c>
      <c r="D7" s="3">
        <f t="shared" si="1"/>
        <v>7.2774543326053704</v>
      </c>
      <c r="E7" s="4">
        <f t="shared" si="2"/>
        <v>0.21290905543422842</v>
      </c>
    </row>
    <row r="8" spans="1:8" x14ac:dyDescent="0.35">
      <c r="A8" s="2">
        <v>64000</v>
      </c>
      <c r="B8" s="2">
        <v>10</v>
      </c>
      <c r="C8" s="2">
        <f t="shared" si="0"/>
        <v>1021810.1942183736</v>
      </c>
      <c r="D8" s="3">
        <f t="shared" si="1"/>
        <v>15.52745433260537</v>
      </c>
      <c r="E8" s="4">
        <f t="shared" si="2"/>
        <v>0.55274543326053693</v>
      </c>
    </row>
    <row r="9" spans="1:8" x14ac:dyDescent="0.35">
      <c r="A9" s="2">
        <v>128000</v>
      </c>
      <c r="B9" s="2">
        <v>33</v>
      </c>
      <c r="C9" s="2">
        <f t="shared" si="0"/>
        <v>2171620.3884367472</v>
      </c>
      <c r="D9" s="3">
        <f t="shared" si="1"/>
        <v>33</v>
      </c>
      <c r="E9" s="4">
        <f t="shared" si="2"/>
        <v>0</v>
      </c>
    </row>
    <row r="10" spans="1:8" x14ac:dyDescent="0.35">
      <c r="A10" s="2">
        <v>256000</v>
      </c>
      <c r="B10" s="2">
        <v>80</v>
      </c>
      <c r="C10" s="2">
        <f t="shared" si="0"/>
        <v>4599240.7768734945</v>
      </c>
      <c r="D10" s="3">
        <f t="shared" si="1"/>
        <v>69.890182669578508</v>
      </c>
      <c r="E10" s="4">
        <f t="shared" si="2"/>
        <v>-0.12637271663026867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2025-04-22T12:15:15Z</dcterms:modified>
</cp:coreProperties>
</file>